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50\Coral Investment Partners\Portfolio Companies\BitMine Immersion Technologies - BMNR\Security Position Reports\2023\"/>
    </mc:Choice>
  </mc:AlternateContent>
  <xr:revisionPtr revIDLastSave="0" documentId="13_ncr:40009_{BEC57830-D54F-4CD1-A9B4-B440C6AA0CE0}" xr6:coauthVersionLast="47" xr6:coauthVersionMax="47" xr10:uidLastSave="{00000000-0000-0000-0000-000000000000}"/>
  <bookViews>
    <workbookView xWindow="-28920" yWindow="-120" windowWidth="29040" windowHeight="15840"/>
  </bookViews>
  <sheets>
    <sheet name="06-30-23 SPR - BMNR" sheetId="1" r:id="rId1"/>
  </sheets>
  <calcPr calcId="0"/>
</workbook>
</file>

<file path=xl/calcChain.xml><?xml version="1.0" encoding="utf-8"?>
<calcChain xmlns="http://schemas.openxmlformats.org/spreadsheetml/2006/main">
  <c r="F57" i="1" l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<sst xmlns="http://schemas.openxmlformats.org/spreadsheetml/2006/main" count="69" uniqueCount="58">
  <si>
    <t>AEIS INC.</t>
  </si>
  <si>
    <t>ALPINE SEC</t>
  </si>
  <si>
    <t>APEX CLEAR</t>
  </si>
  <si>
    <t>AXOS</t>
  </si>
  <si>
    <t>BANK OF NY</t>
  </si>
  <si>
    <t>BMO NSBT**</t>
  </si>
  <si>
    <t>BNPNY/C/CA</t>
  </si>
  <si>
    <t>BNYM/CHARL</t>
  </si>
  <si>
    <t>BOFA</t>
  </si>
  <si>
    <t>BROWN BROS</t>
  </si>
  <si>
    <t>CDSCLEA**</t>
  </si>
  <si>
    <t>CETERA</t>
  </si>
  <si>
    <t>CHS SCHWAB</t>
  </si>
  <si>
    <t>CITIBANK</t>
  </si>
  <si>
    <t>CREST INTL</t>
  </si>
  <si>
    <t>DAVIDSON</t>
  </si>
  <si>
    <t>DESJRDIN**</t>
  </si>
  <si>
    <t>E*TRADE</t>
  </si>
  <si>
    <t>FIDELITY**</t>
  </si>
  <si>
    <t>GOLDMAN</t>
  </si>
  <si>
    <t>HILLTOPSEC</t>
  </si>
  <si>
    <t>INT BROKER</t>
  </si>
  <si>
    <t>JONES E D</t>
  </si>
  <si>
    <t>JPMS/JPMC</t>
  </si>
  <si>
    <t>LPL LLC</t>
  </si>
  <si>
    <t>MFG TRADE</t>
  </si>
  <si>
    <t>MLPFS/8862</t>
  </si>
  <si>
    <t>MSSB</t>
  </si>
  <si>
    <t>NFS LLC</t>
  </si>
  <si>
    <t>NRTHRN TR</t>
  </si>
  <si>
    <t>OPPENHEIME</t>
  </si>
  <si>
    <t>PERSHING</t>
  </si>
  <si>
    <t>PI FINAN**</t>
  </si>
  <si>
    <t>QUES/CDS**</t>
  </si>
  <si>
    <t>RAYMOND</t>
  </si>
  <si>
    <t>RBC/DOMN**</t>
  </si>
  <si>
    <t>RBCCAPMKTS</t>
  </si>
  <si>
    <t>SEI PV/GWP</t>
  </si>
  <si>
    <t>STX INC.</t>
  </si>
  <si>
    <t>TD AMERITR</t>
  </si>
  <si>
    <t>TD WATER**</t>
  </si>
  <si>
    <t>TRADESTATN</t>
  </si>
  <si>
    <t>TX/SAFEKPG</t>
  </si>
  <si>
    <t>UBS FINAN</t>
  </si>
  <si>
    <t>US BANCORP</t>
  </si>
  <si>
    <t>VANGUARD</t>
  </si>
  <si>
    <t>VIRTU AM</t>
  </si>
  <si>
    <t>WEDBUSH</t>
  </si>
  <si>
    <t>WEDBUSH/P3</t>
  </si>
  <si>
    <t>WELLS CLRG</t>
  </si>
  <si>
    <t>WIL-DAV</t>
  </si>
  <si>
    <t>BOFA/SFKPG</t>
  </si>
  <si>
    <t>Change</t>
  </si>
  <si>
    <t>Firm</t>
  </si>
  <si>
    <t>Weekly</t>
  </si>
  <si>
    <t xml:space="preserve">Gross </t>
  </si>
  <si>
    <t>BitMine Immersion - SPR Analysis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</si>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</sst>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m/d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38" fontId="0" fillId="0" borderId="0" xfId="0" applyNumberFormat="1"/>
    <xf numFmtId="3" fontId="0" fillId="0" borderId="0" xfId="0" applyNumberFormat="1"/>
    <xf numFmtId="0" fontId="16" fillId="0" borderId="0" xfId="0" applyFont="1"/>
    <xf numFmtId="38" fontId="16" fillId="0" borderId="0" xfId="0" applyNumberFormat="1" applyFont="1"/>
    <xf numFmtId="166" fontId="16" fillId="0" borderId="0" xfId="0" applyNumberFormat="1" applyFont="1"/>
    <xf numFmtId="15" fontId="16" fillId="0" borderId="0" xfId="0" applyNumberFormat="1" applyFont="1"/>
    <xf numFmtId="14" fontId="16" fillId="0" borderId="0" xfId="0" applyNumberFormat="1" applyFont="1"/>
    <xf numFmtId="0" fontId="0" fillId="33" borderId="0" xfId="0" applyFill="1"/>
    <xf numFmtId="0" fontId="16" fillId="33" borderId="0" xfId="0" applyFont="1" applyFill="1"/>
    <xf numFmtId="38" fontId="0" fillId="33" borderId="0" xfId="0" applyNumberFormat="1" applyFill="1"/>
    <xf numFmtId="38" fontId="16" fillId="33" borderId="0" xfId="0" applyNumberFormat="1" applyFont="1" applyFill="1"/>
    <xf numFmtId="0" fontId="0" fillId="0" borderId="0" xfId="0" applyFill="1"/>
    <xf numFmtId="38" fontId="0" fillId="0" borderId="0" xfId="0" applyNumberFormat="1" applyFill="1"/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9"/>
  <sheetViews>
    <sheetView tabSelected="1" workbookViewId="0">
      <pane xSplit="1" ySplit="5" topLeftCell="B39" activePane="bottomRight" state="frozen"/>
      <selection pane="topRight" activeCell="B1" sqref="B1"/>
      <selection pane="bottomLeft" activeCell="A11" sqref="A11"/>
      <selection pane="bottomRight" activeCell="T31" sqref="T31"/>
    </sheetView>
  </sheetViews>
  <sheetFormatPr defaultRowHeight="15" x14ac:dyDescent="0.25"/>
  <cols>
    <col min="4" max="4" width="9.85546875" style="1" bestFit="1" customWidth="1"/>
    <col min="5" max="5" width="10.140625" bestFit="1" customWidth="1"/>
    <col min="6" max="6" width="9.140625" style="8"/>
    <col min="7" max="7" width="9.42578125" bestFit="1" customWidth="1"/>
    <col min="8" max="8" width="9.140625" style="10"/>
    <col min="9" max="9" width="9.42578125" bestFit="1" customWidth="1"/>
    <col min="10" max="10" width="9.140625" style="10"/>
    <col min="12" max="12" width="9.140625" style="10"/>
    <col min="14" max="14" width="9.140625" style="10"/>
    <col min="15" max="15" width="11.42578125" customWidth="1"/>
    <col min="16" max="16" width="9.140625" style="10"/>
    <col min="17" max="17" width="9.140625" style="1"/>
    <col min="18" max="18" width="2.42578125" customWidth="1"/>
    <col min="19" max="19" width="31.5703125" customWidth="1"/>
  </cols>
  <sheetData>
    <row r="1" spans="2:19" s="12" customFormat="1" x14ac:dyDescent="0.25">
      <c r="D1" s="13"/>
      <c r="H1" s="13"/>
      <c r="J1" s="13"/>
      <c r="L1" s="13"/>
      <c r="N1" s="13"/>
      <c r="P1" s="13"/>
      <c r="Q1" s="13"/>
    </row>
    <row r="2" spans="2:19" s="12" customFormat="1" ht="15.75" x14ac:dyDescent="0.25">
      <c r="B2" s="14" t="s">
        <v>56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19" s="12" customFormat="1" x14ac:dyDescent="0.25">
      <c r="D3" s="13"/>
      <c r="H3" s="13"/>
      <c r="J3" s="13"/>
      <c r="L3" s="13"/>
      <c r="N3" s="13"/>
      <c r="P3" s="13"/>
      <c r="Q3" s="13"/>
    </row>
    <row r="4" spans="2:19" s="3" customFormat="1" x14ac:dyDescent="0.25">
      <c r="D4" s="4"/>
      <c r="F4" s="9" t="s">
        <v>54</v>
      </c>
      <c r="H4" s="9" t="s">
        <v>54</v>
      </c>
      <c r="J4" s="9" t="s">
        <v>54</v>
      </c>
      <c r="L4" s="9" t="s">
        <v>54</v>
      </c>
      <c r="N4" s="9" t="s">
        <v>54</v>
      </c>
      <c r="P4" s="9" t="s">
        <v>54</v>
      </c>
      <c r="Q4" s="4" t="s">
        <v>55</v>
      </c>
    </row>
    <row r="5" spans="2:19" s="3" customFormat="1" x14ac:dyDescent="0.25">
      <c r="B5" s="3" t="s">
        <v>53</v>
      </c>
      <c r="D5" s="5">
        <v>45065</v>
      </c>
      <c r="E5" s="6">
        <v>45072</v>
      </c>
      <c r="F5" s="9" t="s">
        <v>52</v>
      </c>
      <c r="G5" s="6">
        <v>45079</v>
      </c>
      <c r="H5" s="11" t="s">
        <v>52</v>
      </c>
      <c r="I5" s="6">
        <v>45086</v>
      </c>
      <c r="J5" s="11" t="s">
        <v>52</v>
      </c>
      <c r="K5" s="6">
        <v>45093</v>
      </c>
      <c r="L5" s="11" t="s">
        <v>52</v>
      </c>
      <c r="M5" s="6">
        <v>45100</v>
      </c>
      <c r="N5" s="11" t="s">
        <v>52</v>
      </c>
      <c r="O5" s="7">
        <v>45107</v>
      </c>
      <c r="P5" s="11" t="s">
        <v>52</v>
      </c>
      <c r="Q5" s="4" t="s">
        <v>52</v>
      </c>
      <c r="S5" s="3" t="s">
        <v>57</v>
      </c>
    </row>
    <row r="6" spans="2:19" x14ac:dyDescent="0.25">
      <c r="B6" t="s">
        <v>0</v>
      </c>
      <c r="D6" s="2">
        <v>1065</v>
      </c>
      <c r="E6" s="2">
        <v>1065</v>
      </c>
      <c r="F6" s="10">
        <f>+E6-D6</f>
        <v>0</v>
      </c>
      <c r="G6" s="2">
        <v>1065</v>
      </c>
      <c r="H6" s="10">
        <f>+G6-E6</f>
        <v>0</v>
      </c>
      <c r="I6" s="2">
        <v>1065</v>
      </c>
      <c r="J6" s="10">
        <f>+I6-G6</f>
        <v>0</v>
      </c>
      <c r="K6" s="2">
        <v>1065</v>
      </c>
      <c r="L6" s="10">
        <f>+K6-I6</f>
        <v>0</v>
      </c>
      <c r="M6" s="2">
        <v>1065</v>
      </c>
      <c r="N6" s="10">
        <f>+M6-K6</f>
        <v>0</v>
      </c>
      <c r="O6" s="1">
        <v>1065</v>
      </c>
      <c r="P6" s="10">
        <f>+O6-M6</f>
        <v>0</v>
      </c>
      <c r="Q6" s="1">
        <f>+O6-D6</f>
        <v>0</v>
      </c>
    </row>
    <row r="7" spans="2:19" x14ac:dyDescent="0.25">
      <c r="B7" t="s">
        <v>1</v>
      </c>
      <c r="D7" s="2">
        <v>200</v>
      </c>
      <c r="E7" s="2">
        <v>200</v>
      </c>
      <c r="F7" s="10">
        <f>+E7-D7</f>
        <v>0</v>
      </c>
      <c r="G7" s="2">
        <v>200</v>
      </c>
      <c r="H7" s="10">
        <f>+G7-E7</f>
        <v>0</v>
      </c>
      <c r="I7" s="2">
        <v>200</v>
      </c>
      <c r="J7" s="10">
        <f>+I7-G7</f>
        <v>0</v>
      </c>
      <c r="K7" s="2">
        <v>200</v>
      </c>
      <c r="L7" s="10">
        <f>+K7-I7</f>
        <v>0</v>
      </c>
      <c r="M7" s="2">
        <v>200</v>
      </c>
      <c r="N7" s="10">
        <f>+M7-K7</f>
        <v>0</v>
      </c>
      <c r="O7" s="1">
        <v>200</v>
      </c>
      <c r="P7" s="10">
        <f>+O7-M7</f>
        <v>0</v>
      </c>
      <c r="Q7" s="1">
        <f>+O7-D7</f>
        <v>0</v>
      </c>
    </row>
    <row r="8" spans="2:19" x14ac:dyDescent="0.25">
      <c r="B8" t="s">
        <v>2</v>
      </c>
      <c r="D8" s="2">
        <v>2326</v>
      </c>
      <c r="E8" s="2">
        <v>2326</v>
      </c>
      <c r="F8" s="10">
        <f>+E8-D8</f>
        <v>0</v>
      </c>
      <c r="G8" s="2">
        <v>2326</v>
      </c>
      <c r="H8" s="10">
        <f>+G8-E8</f>
        <v>0</v>
      </c>
      <c r="I8" s="2">
        <v>2326</v>
      </c>
      <c r="J8" s="10">
        <f>+I8-G8</f>
        <v>0</v>
      </c>
      <c r="K8" s="2">
        <v>2326</v>
      </c>
      <c r="L8" s="10">
        <f>+K8-I8</f>
        <v>0</v>
      </c>
      <c r="M8" s="2">
        <v>2326</v>
      </c>
      <c r="N8" s="10">
        <f>+M8-K8</f>
        <v>0</v>
      </c>
      <c r="O8" s="1">
        <v>2326</v>
      </c>
      <c r="P8" s="10">
        <f>+O8-M8</f>
        <v>0</v>
      </c>
      <c r="Q8" s="1">
        <f>+O8-D8</f>
        <v>0</v>
      </c>
    </row>
    <row r="9" spans="2:19" x14ac:dyDescent="0.25">
      <c r="B9" t="s">
        <v>3</v>
      </c>
      <c r="D9" s="2">
        <v>200</v>
      </c>
      <c r="E9" s="2">
        <v>200</v>
      </c>
      <c r="F9" s="10">
        <f>+E9-D9</f>
        <v>0</v>
      </c>
      <c r="G9" s="2">
        <v>200</v>
      </c>
      <c r="H9" s="10">
        <f>+G9-E9</f>
        <v>0</v>
      </c>
      <c r="I9" s="2">
        <v>200</v>
      </c>
      <c r="J9" s="10">
        <f>+I9-G9</f>
        <v>0</v>
      </c>
      <c r="K9" s="2">
        <v>200</v>
      </c>
      <c r="L9" s="10">
        <f>+K9-I9</f>
        <v>0</v>
      </c>
      <c r="M9" s="2">
        <v>200</v>
      </c>
      <c r="N9" s="10">
        <f>+M9-K9</f>
        <v>0</v>
      </c>
      <c r="O9" s="1">
        <v>200</v>
      </c>
      <c r="P9" s="10">
        <f>+O9-M9</f>
        <v>0</v>
      </c>
      <c r="Q9" s="1">
        <f>+O9-D9</f>
        <v>0</v>
      </c>
    </row>
    <row r="10" spans="2:19" x14ac:dyDescent="0.25">
      <c r="B10" t="s">
        <v>4</v>
      </c>
      <c r="D10" s="2">
        <v>2193</v>
      </c>
      <c r="E10" s="2">
        <v>2166</v>
      </c>
      <c r="F10" s="10">
        <f>+E10-D10</f>
        <v>-27</v>
      </c>
      <c r="G10" s="2">
        <v>2166</v>
      </c>
      <c r="H10" s="10">
        <f>+G10-E10</f>
        <v>0</v>
      </c>
      <c r="I10" s="2">
        <v>2166</v>
      </c>
      <c r="J10" s="10">
        <f>+I10-G10</f>
        <v>0</v>
      </c>
      <c r="K10" s="2">
        <v>2166</v>
      </c>
      <c r="L10" s="10">
        <f>+K10-I10</f>
        <v>0</v>
      </c>
      <c r="M10" s="2">
        <v>2166</v>
      </c>
      <c r="N10" s="10">
        <f>+M10-K10</f>
        <v>0</v>
      </c>
      <c r="O10" s="1">
        <v>2166</v>
      </c>
      <c r="P10" s="10">
        <f>+O10-M10</f>
        <v>0</v>
      </c>
      <c r="Q10" s="1">
        <f>+O10-D10</f>
        <v>-27</v>
      </c>
    </row>
    <row r="11" spans="2:19" x14ac:dyDescent="0.25">
      <c r="B11" t="s">
        <v>5</v>
      </c>
      <c r="D11" s="2">
        <v>200</v>
      </c>
      <c r="E11" s="2">
        <v>200</v>
      </c>
      <c r="F11" s="10">
        <f>+E11-D11</f>
        <v>0</v>
      </c>
      <c r="G11" s="2">
        <v>200</v>
      </c>
      <c r="H11" s="10">
        <f>+G11-E11</f>
        <v>0</v>
      </c>
      <c r="I11" s="2">
        <v>200</v>
      </c>
      <c r="J11" s="10">
        <f>+I11-G11</f>
        <v>0</v>
      </c>
      <c r="K11" s="2">
        <v>200</v>
      </c>
      <c r="L11" s="10">
        <f>+K11-I11</f>
        <v>0</v>
      </c>
      <c r="M11" s="2">
        <v>200</v>
      </c>
      <c r="N11" s="10">
        <f>+M11-K11</f>
        <v>0</v>
      </c>
      <c r="O11" s="1">
        <v>200</v>
      </c>
      <c r="P11" s="10">
        <f>+O11-M11</f>
        <v>0</v>
      </c>
      <c r="Q11" s="1">
        <f>+O11-D11</f>
        <v>0</v>
      </c>
    </row>
    <row r="12" spans="2:19" x14ac:dyDescent="0.25">
      <c r="B12" t="s">
        <v>6</v>
      </c>
      <c r="D12" s="2">
        <v>200</v>
      </c>
      <c r="E12" s="2">
        <v>200</v>
      </c>
      <c r="F12" s="10">
        <f>+E12-D12</f>
        <v>0</v>
      </c>
      <c r="G12" s="2">
        <v>200</v>
      </c>
      <c r="H12" s="10">
        <f>+G12-E12</f>
        <v>0</v>
      </c>
      <c r="I12" s="2">
        <v>200</v>
      </c>
      <c r="J12" s="10">
        <f>+I12-G12</f>
        <v>0</v>
      </c>
      <c r="K12" s="2">
        <v>200</v>
      </c>
      <c r="L12" s="10">
        <f>+K12-I12</f>
        <v>0</v>
      </c>
      <c r="M12" s="2">
        <v>200</v>
      </c>
      <c r="N12" s="10">
        <f>+M12-K12</f>
        <v>0</v>
      </c>
      <c r="O12" s="1">
        <v>200</v>
      </c>
      <c r="P12" s="10">
        <f>+O12-M12</f>
        <v>0</v>
      </c>
      <c r="Q12" s="1">
        <f>+O12-D12</f>
        <v>0</v>
      </c>
    </row>
    <row r="13" spans="2:19" x14ac:dyDescent="0.25">
      <c r="B13" t="s">
        <v>7</v>
      </c>
      <c r="D13" s="2">
        <v>200</v>
      </c>
      <c r="E13" s="2">
        <v>200</v>
      </c>
      <c r="F13" s="10">
        <f>+E13-D13</f>
        <v>0</v>
      </c>
      <c r="G13" s="2">
        <v>200</v>
      </c>
      <c r="H13" s="10">
        <f>+G13-E13</f>
        <v>0</v>
      </c>
      <c r="I13" s="2">
        <v>200</v>
      </c>
      <c r="J13" s="10">
        <f>+I13-G13</f>
        <v>0</v>
      </c>
      <c r="K13" s="2">
        <v>200</v>
      </c>
      <c r="L13" s="10">
        <f>+K13-I13</f>
        <v>0</v>
      </c>
      <c r="M13" s="2">
        <v>200</v>
      </c>
      <c r="N13" s="10">
        <f>+M13-K13</f>
        <v>0</v>
      </c>
      <c r="O13" s="1">
        <v>200</v>
      </c>
      <c r="P13" s="10">
        <f>+O13-M13</f>
        <v>0</v>
      </c>
      <c r="Q13" s="1">
        <f>+O13-D13</f>
        <v>0</v>
      </c>
    </row>
    <row r="14" spans="2:19" x14ac:dyDescent="0.25">
      <c r="B14" t="s">
        <v>8</v>
      </c>
      <c r="D14" s="2">
        <v>389</v>
      </c>
      <c r="E14" s="2">
        <v>189</v>
      </c>
      <c r="F14" s="10">
        <f>+E14-D14</f>
        <v>-200</v>
      </c>
      <c r="G14" s="2">
        <v>250</v>
      </c>
      <c r="H14" s="10">
        <f>+G14-E14</f>
        <v>61</v>
      </c>
      <c r="I14" s="2">
        <v>250</v>
      </c>
      <c r="J14" s="10">
        <f>+I14-G14</f>
        <v>0</v>
      </c>
      <c r="K14" s="2">
        <v>321</v>
      </c>
      <c r="L14" s="10">
        <f>+K14-I14</f>
        <v>71</v>
      </c>
      <c r="M14" s="2">
        <v>350</v>
      </c>
      <c r="N14" s="10">
        <f>+M14-K14</f>
        <v>29</v>
      </c>
      <c r="O14" s="1">
        <v>2712</v>
      </c>
      <c r="P14" s="10">
        <f>+O14-M14</f>
        <v>2362</v>
      </c>
      <c r="Q14" s="1">
        <f>+O14-D14</f>
        <v>2323</v>
      </c>
    </row>
    <row r="15" spans="2:19" x14ac:dyDescent="0.25">
      <c r="B15" t="s">
        <v>51</v>
      </c>
      <c r="D15" s="2">
        <v>61</v>
      </c>
      <c r="E15" s="2">
        <v>61</v>
      </c>
      <c r="F15" s="10">
        <f>+E15-D15</f>
        <v>0</v>
      </c>
      <c r="G15" s="2">
        <v>0</v>
      </c>
      <c r="H15" s="10">
        <f>+G15-E15</f>
        <v>-61</v>
      </c>
      <c r="I15" s="2">
        <v>0</v>
      </c>
      <c r="J15" s="10">
        <f>+I15-G15</f>
        <v>0</v>
      </c>
      <c r="K15" s="2">
        <v>0</v>
      </c>
      <c r="L15" s="10">
        <f>+K15-I15</f>
        <v>0</v>
      </c>
      <c r="M15" s="2">
        <v>0</v>
      </c>
      <c r="N15" s="10">
        <f>+M15-K15</f>
        <v>0</v>
      </c>
      <c r="O15">
        <v>0</v>
      </c>
      <c r="P15" s="10">
        <f>+O15-M15</f>
        <v>0</v>
      </c>
      <c r="Q15" s="1">
        <f>+O15-D15</f>
        <v>-61</v>
      </c>
    </row>
    <row r="16" spans="2:19" x14ac:dyDescent="0.25">
      <c r="B16" t="s">
        <v>9</v>
      </c>
      <c r="D16" s="2">
        <v>400</v>
      </c>
      <c r="E16" s="2">
        <v>400</v>
      </c>
      <c r="F16" s="10">
        <f>+E16-D16</f>
        <v>0</v>
      </c>
      <c r="G16" s="2">
        <v>400</v>
      </c>
      <c r="H16" s="10">
        <f>+G16-E16</f>
        <v>0</v>
      </c>
      <c r="I16" s="2">
        <v>400</v>
      </c>
      <c r="J16" s="10">
        <f>+I16-G16</f>
        <v>0</v>
      </c>
      <c r="K16" s="2">
        <v>400</v>
      </c>
      <c r="L16" s="10">
        <f>+K16-I16</f>
        <v>0</v>
      </c>
      <c r="M16" s="2">
        <v>400</v>
      </c>
      <c r="N16" s="10">
        <f>+M16-K16</f>
        <v>0</v>
      </c>
      <c r="O16" s="1">
        <v>400</v>
      </c>
      <c r="P16" s="10">
        <f>+O16-M16</f>
        <v>0</v>
      </c>
      <c r="Q16" s="1">
        <f>+O16-D16</f>
        <v>0</v>
      </c>
    </row>
    <row r="17" spans="2:17" x14ac:dyDescent="0.25">
      <c r="B17" t="s">
        <v>10</v>
      </c>
      <c r="D17" s="2">
        <v>600</v>
      </c>
      <c r="E17" s="2">
        <v>600</v>
      </c>
      <c r="F17" s="10">
        <f>+E17-D17</f>
        <v>0</v>
      </c>
      <c r="G17" s="2">
        <v>600</v>
      </c>
      <c r="H17" s="10">
        <f>+G17-E17</f>
        <v>0</v>
      </c>
      <c r="I17" s="2">
        <v>600</v>
      </c>
      <c r="J17" s="10">
        <f>+I17-G17</f>
        <v>0</v>
      </c>
      <c r="K17" s="2">
        <v>600</v>
      </c>
      <c r="L17" s="10">
        <f>+K17-I17</f>
        <v>0</v>
      </c>
      <c r="M17" s="2">
        <v>600</v>
      </c>
      <c r="N17" s="10">
        <f>+M17-K17</f>
        <v>0</v>
      </c>
      <c r="O17" s="1">
        <v>600</v>
      </c>
      <c r="P17" s="10">
        <f>+O17-M17</f>
        <v>0</v>
      </c>
      <c r="Q17" s="1">
        <f>+O17-D17</f>
        <v>0</v>
      </c>
    </row>
    <row r="18" spans="2:17" x14ac:dyDescent="0.25">
      <c r="B18" t="s">
        <v>11</v>
      </c>
      <c r="D18" s="2">
        <v>200</v>
      </c>
      <c r="E18" s="2">
        <v>200</v>
      </c>
      <c r="F18" s="10">
        <f>+E18-D18</f>
        <v>0</v>
      </c>
      <c r="G18" s="2">
        <v>200</v>
      </c>
      <c r="H18" s="10">
        <f>+G18-E18</f>
        <v>0</v>
      </c>
      <c r="I18" s="2">
        <v>200</v>
      </c>
      <c r="J18" s="10">
        <f>+I18-G18</f>
        <v>0</v>
      </c>
      <c r="K18" s="2">
        <v>200</v>
      </c>
      <c r="L18" s="10">
        <f>+K18-I18</f>
        <v>0</v>
      </c>
      <c r="M18" s="2">
        <v>200</v>
      </c>
      <c r="N18" s="10">
        <f>+M18-K18</f>
        <v>0</v>
      </c>
      <c r="O18" s="1">
        <v>200</v>
      </c>
      <c r="P18" s="10">
        <f>+O18-M18</f>
        <v>0</v>
      </c>
      <c r="Q18" s="1">
        <f>+O18-D18</f>
        <v>0</v>
      </c>
    </row>
    <row r="19" spans="2:17" x14ac:dyDescent="0.25">
      <c r="B19" t="s">
        <v>12</v>
      </c>
      <c r="D19" s="2">
        <v>36008</v>
      </c>
      <c r="E19" s="2">
        <v>36008</v>
      </c>
      <c r="F19" s="10">
        <f>+E19-D19</f>
        <v>0</v>
      </c>
      <c r="G19" s="2">
        <v>89753</v>
      </c>
      <c r="H19" s="10">
        <f>+G19-E19</f>
        <v>53745</v>
      </c>
      <c r="I19" s="2">
        <v>89753</v>
      </c>
      <c r="J19" s="10">
        <f>+I19-G19</f>
        <v>0</v>
      </c>
      <c r="K19" s="2">
        <v>89682</v>
      </c>
      <c r="L19" s="10">
        <f>+K19-I19</f>
        <v>-71</v>
      </c>
      <c r="M19" s="2">
        <v>89653</v>
      </c>
      <c r="N19" s="10">
        <f>+M19-K19</f>
        <v>-29</v>
      </c>
      <c r="O19" s="1">
        <v>94464</v>
      </c>
      <c r="P19" s="10">
        <f>+O19-M19</f>
        <v>4811</v>
      </c>
      <c r="Q19" s="1">
        <f>+O19-D19</f>
        <v>58456</v>
      </c>
    </row>
    <row r="20" spans="2:17" x14ac:dyDescent="0.25">
      <c r="B20" t="s">
        <v>13</v>
      </c>
      <c r="D20" s="2">
        <v>1200</v>
      </c>
      <c r="E20" s="2">
        <v>1200</v>
      </c>
      <c r="F20" s="10">
        <f>+E20-D20</f>
        <v>0</v>
      </c>
      <c r="G20" s="2">
        <v>1200</v>
      </c>
      <c r="H20" s="10">
        <f>+G20-E20</f>
        <v>0</v>
      </c>
      <c r="I20" s="2">
        <v>1200</v>
      </c>
      <c r="J20" s="10">
        <f>+I20-G20</f>
        <v>0</v>
      </c>
      <c r="K20" s="2">
        <v>1200</v>
      </c>
      <c r="L20" s="10">
        <f>+K20-I20</f>
        <v>0</v>
      </c>
      <c r="M20" s="2">
        <v>1200</v>
      </c>
      <c r="N20" s="10">
        <f>+M20-K20</f>
        <v>0</v>
      </c>
      <c r="O20" s="1">
        <v>1200</v>
      </c>
      <c r="P20" s="10">
        <f>+O20-M20</f>
        <v>0</v>
      </c>
      <c r="Q20" s="1">
        <f>+O20-D20</f>
        <v>0</v>
      </c>
    </row>
    <row r="21" spans="2:17" x14ac:dyDescent="0.25">
      <c r="B21" t="s">
        <v>14</v>
      </c>
      <c r="D21" s="2">
        <v>200</v>
      </c>
      <c r="E21" s="2">
        <v>200</v>
      </c>
      <c r="F21" s="10">
        <f>+E21-D21</f>
        <v>0</v>
      </c>
      <c r="G21" s="2">
        <v>200</v>
      </c>
      <c r="H21" s="10">
        <f>+G21-E21</f>
        <v>0</v>
      </c>
      <c r="I21" s="2">
        <v>200</v>
      </c>
      <c r="J21" s="10">
        <f>+I21-G21</f>
        <v>0</v>
      </c>
      <c r="K21" s="2">
        <v>200</v>
      </c>
      <c r="L21" s="10">
        <f>+K21-I21</f>
        <v>0</v>
      </c>
      <c r="M21" s="2">
        <v>200</v>
      </c>
      <c r="N21" s="10">
        <f>+M21-K21</f>
        <v>0</v>
      </c>
      <c r="O21" s="1">
        <v>200</v>
      </c>
      <c r="P21" s="10">
        <f>+O21-M21</f>
        <v>0</v>
      </c>
      <c r="Q21" s="1">
        <f>+O21-D21</f>
        <v>0</v>
      </c>
    </row>
    <row r="22" spans="2:17" x14ac:dyDescent="0.25">
      <c r="B22" t="s">
        <v>15</v>
      </c>
      <c r="D22" s="2">
        <v>400</v>
      </c>
      <c r="E22" s="2">
        <v>400</v>
      </c>
      <c r="F22" s="10">
        <f>+E22-D22</f>
        <v>0</v>
      </c>
      <c r="G22" s="2">
        <v>400</v>
      </c>
      <c r="H22" s="10">
        <f>+G22-E22</f>
        <v>0</v>
      </c>
      <c r="I22" s="2">
        <v>400</v>
      </c>
      <c r="J22" s="10">
        <f>+I22-G22</f>
        <v>0</v>
      </c>
      <c r="K22" s="2">
        <v>400</v>
      </c>
      <c r="L22" s="10">
        <f>+K22-I22</f>
        <v>0</v>
      </c>
      <c r="M22" s="2">
        <v>400</v>
      </c>
      <c r="N22" s="10">
        <f>+M22-K22</f>
        <v>0</v>
      </c>
      <c r="O22" s="1">
        <v>400</v>
      </c>
      <c r="P22" s="10">
        <f>+O22-M22</f>
        <v>0</v>
      </c>
      <c r="Q22" s="1">
        <f>+O22-D22</f>
        <v>0</v>
      </c>
    </row>
    <row r="23" spans="2:17" x14ac:dyDescent="0.25">
      <c r="B23" t="s">
        <v>16</v>
      </c>
      <c r="D23" s="2">
        <v>200</v>
      </c>
      <c r="E23" s="2">
        <v>200</v>
      </c>
      <c r="F23" s="10">
        <f>+E23-D23</f>
        <v>0</v>
      </c>
      <c r="G23" s="2">
        <v>200</v>
      </c>
      <c r="H23" s="10">
        <f>+G23-E23</f>
        <v>0</v>
      </c>
      <c r="I23" s="2">
        <v>200</v>
      </c>
      <c r="J23" s="10">
        <f>+I23-G23</f>
        <v>0</v>
      </c>
      <c r="K23" s="2">
        <v>200</v>
      </c>
      <c r="L23" s="10">
        <f>+K23-I23</f>
        <v>0</v>
      </c>
      <c r="M23" s="2">
        <v>200</v>
      </c>
      <c r="N23" s="10">
        <f>+M23-K23</f>
        <v>0</v>
      </c>
      <c r="O23" s="1">
        <v>200</v>
      </c>
      <c r="P23" s="10">
        <f>+O23-M23</f>
        <v>0</v>
      </c>
      <c r="Q23" s="1">
        <f>+O23-D23</f>
        <v>0</v>
      </c>
    </row>
    <row r="24" spans="2:17" x14ac:dyDescent="0.25">
      <c r="B24" t="s">
        <v>17</v>
      </c>
      <c r="D24" s="2">
        <v>47282</v>
      </c>
      <c r="E24" s="2">
        <v>47282</v>
      </c>
      <c r="F24" s="10">
        <f>+E24-D24</f>
        <v>0</v>
      </c>
      <c r="G24" s="2">
        <v>47732</v>
      </c>
      <c r="H24" s="10">
        <f>+G24-E24</f>
        <v>450</v>
      </c>
      <c r="I24" s="2">
        <v>50946</v>
      </c>
      <c r="J24" s="10">
        <f>+I24-G24</f>
        <v>3214</v>
      </c>
      <c r="K24" s="2">
        <v>49946</v>
      </c>
      <c r="L24" s="10">
        <f>+K24-I24</f>
        <v>-1000</v>
      </c>
      <c r="M24" s="2">
        <v>28766</v>
      </c>
      <c r="N24" s="10">
        <f>+M24-K24</f>
        <v>-21180</v>
      </c>
      <c r="O24" s="1">
        <v>27196</v>
      </c>
      <c r="P24" s="10">
        <f>+O24-M24</f>
        <v>-1570</v>
      </c>
      <c r="Q24" s="1">
        <f>+O24-D24</f>
        <v>-20086</v>
      </c>
    </row>
    <row r="25" spans="2:17" x14ac:dyDescent="0.25">
      <c r="B25" t="s">
        <v>18</v>
      </c>
      <c r="D25" s="2">
        <v>481944</v>
      </c>
      <c r="E25" s="2">
        <v>581944</v>
      </c>
      <c r="F25" s="10">
        <f>+E25-D25</f>
        <v>100000</v>
      </c>
      <c r="G25" s="2">
        <v>579744</v>
      </c>
      <c r="H25" s="10">
        <f>+G25-E25</f>
        <v>-2200</v>
      </c>
      <c r="I25" s="2">
        <v>580744</v>
      </c>
      <c r="J25" s="10">
        <f>+I25-G25</f>
        <v>1000</v>
      </c>
      <c r="K25" s="2">
        <v>579744</v>
      </c>
      <c r="L25" s="10">
        <f>+K25-I25</f>
        <v>-1000</v>
      </c>
      <c r="M25" s="2">
        <v>580244</v>
      </c>
      <c r="N25" s="10">
        <f>+M25-K25</f>
        <v>500</v>
      </c>
      <c r="O25" s="1">
        <v>574544</v>
      </c>
      <c r="P25" s="10">
        <f>+O25-M25</f>
        <v>-5700</v>
      </c>
      <c r="Q25" s="1">
        <f>+O25-D25</f>
        <v>92600</v>
      </c>
    </row>
    <row r="26" spans="2:17" x14ac:dyDescent="0.25">
      <c r="B26" t="s">
        <v>19</v>
      </c>
      <c r="D26" s="2">
        <v>4335</v>
      </c>
      <c r="E26" s="2">
        <v>4535</v>
      </c>
      <c r="F26" s="10">
        <f>+E26-D26</f>
        <v>200</v>
      </c>
      <c r="G26" s="2">
        <v>256</v>
      </c>
      <c r="H26" s="10">
        <f>+G26-E26</f>
        <v>-4279</v>
      </c>
      <c r="I26" s="2">
        <v>1256</v>
      </c>
      <c r="J26" s="10">
        <f>+I26-G26</f>
        <v>1000</v>
      </c>
      <c r="K26" s="2">
        <v>1256</v>
      </c>
      <c r="L26" s="10">
        <f>+K26-I26</f>
        <v>0</v>
      </c>
      <c r="M26" s="2">
        <v>1256</v>
      </c>
      <c r="N26" s="10">
        <f>+M26-K26</f>
        <v>0</v>
      </c>
      <c r="O26" s="1">
        <v>2943</v>
      </c>
      <c r="P26" s="10">
        <f>+O26-M26</f>
        <v>1687</v>
      </c>
      <c r="Q26" s="1">
        <f>+O26-D26</f>
        <v>-1392</v>
      </c>
    </row>
    <row r="27" spans="2:17" x14ac:dyDescent="0.25">
      <c r="B27" t="s">
        <v>20</v>
      </c>
      <c r="D27" s="2">
        <v>200</v>
      </c>
      <c r="E27" s="2">
        <v>200</v>
      </c>
      <c r="F27" s="10">
        <f>+E27-D27</f>
        <v>0</v>
      </c>
      <c r="G27" s="2">
        <v>200</v>
      </c>
      <c r="H27" s="10">
        <f>+G27-E27</f>
        <v>0</v>
      </c>
      <c r="I27" s="2">
        <v>200</v>
      </c>
      <c r="J27" s="10">
        <f>+I27-G27</f>
        <v>0</v>
      </c>
      <c r="K27" s="2">
        <v>200</v>
      </c>
      <c r="L27" s="10">
        <f>+K27-I27</f>
        <v>0</v>
      </c>
      <c r="M27" s="2">
        <v>200</v>
      </c>
      <c r="N27" s="10">
        <f>+M27-K27</f>
        <v>0</v>
      </c>
      <c r="O27" s="1">
        <v>200</v>
      </c>
      <c r="P27" s="10">
        <f>+O27-M27</f>
        <v>0</v>
      </c>
      <c r="Q27" s="1">
        <f>+O27-D27</f>
        <v>0</v>
      </c>
    </row>
    <row r="28" spans="2:17" x14ac:dyDescent="0.25">
      <c r="B28" t="s">
        <v>21</v>
      </c>
      <c r="D28" s="2">
        <v>1414</v>
      </c>
      <c r="E28" s="2">
        <v>1414</v>
      </c>
      <c r="F28" s="10">
        <f>+E28-D28</f>
        <v>0</v>
      </c>
      <c r="G28" s="2">
        <v>1214</v>
      </c>
      <c r="H28" s="10">
        <f>+G28-E28</f>
        <v>-200</v>
      </c>
      <c r="I28" s="2">
        <v>1314</v>
      </c>
      <c r="J28" s="10">
        <f>+I28-G28</f>
        <v>100</v>
      </c>
      <c r="K28" s="2">
        <v>1314</v>
      </c>
      <c r="L28" s="10">
        <f>+K28-I28</f>
        <v>0</v>
      </c>
      <c r="M28" s="2">
        <v>1314</v>
      </c>
      <c r="N28" s="10">
        <f>+M28-K28</f>
        <v>0</v>
      </c>
      <c r="O28" s="1">
        <v>1314</v>
      </c>
      <c r="P28" s="10">
        <f>+O28-M28</f>
        <v>0</v>
      </c>
      <c r="Q28" s="1">
        <f>+O28-D28</f>
        <v>-100</v>
      </c>
    </row>
    <row r="29" spans="2:17" x14ac:dyDescent="0.25">
      <c r="B29" t="s">
        <v>22</v>
      </c>
      <c r="D29" s="2">
        <v>600</v>
      </c>
      <c r="E29" s="2">
        <v>600</v>
      </c>
      <c r="F29" s="10">
        <f>+E29-D29</f>
        <v>0</v>
      </c>
      <c r="G29" s="2">
        <v>600</v>
      </c>
      <c r="H29" s="10">
        <f>+G29-E29</f>
        <v>0</v>
      </c>
      <c r="I29" s="2">
        <v>600</v>
      </c>
      <c r="J29" s="10">
        <f>+I29-G29</f>
        <v>0</v>
      </c>
      <c r="K29" s="2">
        <v>600</v>
      </c>
      <c r="L29" s="10">
        <f>+K29-I29</f>
        <v>0</v>
      </c>
      <c r="M29" s="2">
        <v>600</v>
      </c>
      <c r="N29" s="10">
        <f>+M29-K29</f>
        <v>0</v>
      </c>
      <c r="O29" s="1">
        <v>600</v>
      </c>
      <c r="P29" s="10">
        <f>+O29-M29</f>
        <v>0</v>
      </c>
      <c r="Q29" s="1">
        <f>+O29-D29</f>
        <v>0</v>
      </c>
    </row>
    <row r="30" spans="2:17" x14ac:dyDescent="0.25">
      <c r="B30" t="s">
        <v>23</v>
      </c>
      <c r="D30" s="2">
        <v>200</v>
      </c>
      <c r="E30" s="2">
        <v>200</v>
      </c>
      <c r="F30" s="10">
        <f>+E30-D30</f>
        <v>0</v>
      </c>
      <c r="G30" s="2">
        <v>200</v>
      </c>
      <c r="H30" s="10">
        <f>+G30-E30</f>
        <v>0</v>
      </c>
      <c r="I30" s="2">
        <v>200</v>
      </c>
      <c r="J30" s="10">
        <f>+I30-G30</f>
        <v>0</v>
      </c>
      <c r="K30" s="2">
        <v>200</v>
      </c>
      <c r="L30" s="10">
        <f>+K30-I30</f>
        <v>0</v>
      </c>
      <c r="M30" s="2">
        <v>200</v>
      </c>
      <c r="N30" s="10">
        <f>+M30-K30</f>
        <v>0</v>
      </c>
      <c r="O30" s="1">
        <v>200</v>
      </c>
      <c r="P30" s="10">
        <f>+O30-M30</f>
        <v>0</v>
      </c>
      <c r="Q30" s="1">
        <f>+O30-D30</f>
        <v>0</v>
      </c>
    </row>
    <row r="31" spans="2:17" x14ac:dyDescent="0.25">
      <c r="B31" t="s">
        <v>24</v>
      </c>
      <c r="D31" s="2">
        <v>1423</v>
      </c>
      <c r="E31" s="2">
        <v>1423</v>
      </c>
      <c r="F31" s="10">
        <f>+E31-D31</f>
        <v>0</v>
      </c>
      <c r="G31" s="2">
        <v>1423</v>
      </c>
      <c r="H31" s="10">
        <f>+G31-E31</f>
        <v>0</v>
      </c>
      <c r="I31" s="2">
        <v>1423</v>
      </c>
      <c r="J31" s="10">
        <f>+I31-G31</f>
        <v>0</v>
      </c>
      <c r="K31" s="2">
        <v>1423</v>
      </c>
      <c r="L31" s="10">
        <f>+K31-I31</f>
        <v>0</v>
      </c>
      <c r="M31" s="2">
        <v>1423</v>
      </c>
      <c r="N31" s="10">
        <f>+M31-K31</f>
        <v>0</v>
      </c>
      <c r="O31" s="1">
        <v>1382</v>
      </c>
      <c r="P31" s="10">
        <f>+O31-M31</f>
        <v>-41</v>
      </c>
      <c r="Q31" s="1">
        <f>+O31-D31</f>
        <v>-41</v>
      </c>
    </row>
    <row r="32" spans="2:17" x14ac:dyDescent="0.25">
      <c r="B32" t="s">
        <v>25</v>
      </c>
      <c r="D32" s="2">
        <v>2124</v>
      </c>
      <c r="E32" s="2">
        <v>2124</v>
      </c>
      <c r="F32" s="10">
        <f>+E32-D32</f>
        <v>0</v>
      </c>
      <c r="G32" s="2">
        <v>2124</v>
      </c>
      <c r="H32" s="10">
        <f>+G32-E32</f>
        <v>0</v>
      </c>
      <c r="I32" s="2">
        <v>2124</v>
      </c>
      <c r="J32" s="10">
        <f>+I32-G32</f>
        <v>0</v>
      </c>
      <c r="K32" s="2">
        <v>2124</v>
      </c>
      <c r="L32" s="10">
        <f>+K32-I32</f>
        <v>0</v>
      </c>
      <c r="M32" s="2">
        <v>2124</v>
      </c>
      <c r="N32" s="10">
        <f>+M32-K32</f>
        <v>0</v>
      </c>
      <c r="O32" s="1">
        <v>2124</v>
      </c>
      <c r="P32" s="10">
        <f>+O32-M32</f>
        <v>0</v>
      </c>
      <c r="Q32" s="1">
        <f>+O32-D32</f>
        <v>0</v>
      </c>
    </row>
    <row r="33" spans="2:17" x14ac:dyDescent="0.25">
      <c r="B33" t="s">
        <v>26</v>
      </c>
      <c r="D33" s="2">
        <v>1200</v>
      </c>
      <c r="E33" s="2">
        <v>1200</v>
      </c>
      <c r="F33" s="10">
        <f>+E33-D33</f>
        <v>0</v>
      </c>
      <c r="G33" s="2">
        <v>1200</v>
      </c>
      <c r="H33" s="10">
        <f>+G33-E33</f>
        <v>0</v>
      </c>
      <c r="I33" s="2">
        <v>1200</v>
      </c>
      <c r="J33" s="10">
        <f>+I33-G33</f>
        <v>0</v>
      </c>
      <c r="K33" s="2">
        <v>1200</v>
      </c>
      <c r="L33" s="10">
        <f>+K33-I33</f>
        <v>0</v>
      </c>
      <c r="M33" s="2">
        <v>1200</v>
      </c>
      <c r="N33" s="10">
        <f>+M33-K33</f>
        <v>0</v>
      </c>
      <c r="O33" s="1">
        <v>1200</v>
      </c>
      <c r="P33" s="10">
        <f>+O33-M33</f>
        <v>0</v>
      </c>
      <c r="Q33" s="1">
        <f>+O33-D33</f>
        <v>0</v>
      </c>
    </row>
    <row r="34" spans="2:17" x14ac:dyDescent="0.25">
      <c r="B34" t="s">
        <v>27</v>
      </c>
      <c r="D34" s="2">
        <v>600</v>
      </c>
      <c r="E34" s="2">
        <v>600</v>
      </c>
      <c r="F34" s="10">
        <f>+E34-D34</f>
        <v>0</v>
      </c>
      <c r="G34" s="2">
        <v>600</v>
      </c>
      <c r="H34" s="10">
        <f>+G34-E34</f>
        <v>0</v>
      </c>
      <c r="I34" s="2">
        <v>600</v>
      </c>
      <c r="J34" s="10">
        <f>+I34-G34</f>
        <v>0</v>
      </c>
      <c r="K34" s="2">
        <v>600</v>
      </c>
      <c r="L34" s="10">
        <f>+K34-I34</f>
        <v>0</v>
      </c>
      <c r="M34" s="2">
        <v>21780</v>
      </c>
      <c r="N34" s="10">
        <f>+M34-K34</f>
        <v>21180</v>
      </c>
      <c r="O34" s="1">
        <v>22240</v>
      </c>
      <c r="P34" s="10">
        <f>+O34-M34</f>
        <v>460</v>
      </c>
      <c r="Q34" s="1">
        <f>+O34-D34</f>
        <v>21640</v>
      </c>
    </row>
    <row r="35" spans="2:17" x14ac:dyDescent="0.25">
      <c r="B35" t="s">
        <v>28</v>
      </c>
      <c r="D35" s="2">
        <v>73423</v>
      </c>
      <c r="E35" s="2">
        <v>73423</v>
      </c>
      <c r="F35" s="10">
        <f>+E35-D35</f>
        <v>0</v>
      </c>
      <c r="G35" s="2">
        <v>70888</v>
      </c>
      <c r="H35" s="10">
        <f>+G35-E35</f>
        <v>-2535</v>
      </c>
      <c r="I35" s="2">
        <v>70888</v>
      </c>
      <c r="J35" s="10">
        <f>+I35-G35</f>
        <v>0</v>
      </c>
      <c r="K35" s="2">
        <v>70888</v>
      </c>
      <c r="L35" s="10">
        <f>+K35-I35</f>
        <v>0</v>
      </c>
      <c r="M35" s="2">
        <v>70888</v>
      </c>
      <c r="N35" s="10">
        <f>+M35-K35</f>
        <v>0</v>
      </c>
      <c r="O35" s="1">
        <v>73024</v>
      </c>
      <c r="P35" s="10">
        <f>+O35-M35</f>
        <v>2136</v>
      </c>
      <c r="Q35" s="1">
        <f>+O35-D35</f>
        <v>-399</v>
      </c>
    </row>
    <row r="36" spans="2:17" x14ac:dyDescent="0.25">
      <c r="B36" t="s">
        <v>29</v>
      </c>
      <c r="D36" s="2">
        <v>200</v>
      </c>
      <c r="E36" s="2">
        <v>200</v>
      </c>
      <c r="F36" s="10">
        <f>+E36-D36</f>
        <v>0</v>
      </c>
      <c r="G36" s="2">
        <v>200</v>
      </c>
      <c r="H36" s="10">
        <f>+G36-E36</f>
        <v>0</v>
      </c>
      <c r="I36" s="2">
        <v>200</v>
      </c>
      <c r="J36" s="10">
        <f>+I36-G36</f>
        <v>0</v>
      </c>
      <c r="K36" s="2">
        <v>200</v>
      </c>
      <c r="L36" s="10">
        <f>+K36-I36</f>
        <v>0</v>
      </c>
      <c r="M36" s="2">
        <v>200</v>
      </c>
      <c r="N36" s="10">
        <f>+M36-K36</f>
        <v>0</v>
      </c>
      <c r="O36" s="1">
        <v>200</v>
      </c>
      <c r="P36" s="10">
        <f>+O36-M36</f>
        <v>0</v>
      </c>
      <c r="Q36" s="1">
        <f>+O36-D36</f>
        <v>0</v>
      </c>
    </row>
    <row r="37" spans="2:17" x14ac:dyDescent="0.25">
      <c r="B37" t="s">
        <v>30</v>
      </c>
      <c r="D37" s="2">
        <v>400</v>
      </c>
      <c r="E37" s="2">
        <v>400</v>
      </c>
      <c r="F37" s="10">
        <f>+E37-D37</f>
        <v>0</v>
      </c>
      <c r="G37" s="2">
        <v>400</v>
      </c>
      <c r="H37" s="10">
        <f>+G37-E37</f>
        <v>0</v>
      </c>
      <c r="I37" s="2">
        <v>400</v>
      </c>
      <c r="J37" s="10">
        <f>+I37-G37</f>
        <v>0</v>
      </c>
      <c r="K37" s="2">
        <v>400</v>
      </c>
      <c r="L37" s="10">
        <f>+K37-I37</f>
        <v>0</v>
      </c>
      <c r="M37" s="2">
        <v>400</v>
      </c>
      <c r="N37" s="10">
        <f>+M37-K37</f>
        <v>0</v>
      </c>
      <c r="O37" s="1">
        <v>400</v>
      </c>
      <c r="P37" s="10">
        <f>+O37-M37</f>
        <v>0</v>
      </c>
      <c r="Q37" s="1">
        <f>+O37-D37</f>
        <v>0</v>
      </c>
    </row>
    <row r="38" spans="2:17" x14ac:dyDescent="0.25">
      <c r="B38" t="s">
        <v>31</v>
      </c>
      <c r="D38" s="2">
        <v>33456</v>
      </c>
      <c r="E38" s="2">
        <v>33456</v>
      </c>
      <c r="F38" s="10">
        <f>+E38-D38</f>
        <v>0</v>
      </c>
      <c r="G38" s="2">
        <v>33310</v>
      </c>
      <c r="H38" s="10">
        <f>+G38-E38</f>
        <v>-146</v>
      </c>
      <c r="I38" s="2">
        <v>198310</v>
      </c>
      <c r="J38" s="10">
        <f>+I38-G38</f>
        <v>165000</v>
      </c>
      <c r="K38" s="2">
        <v>198310</v>
      </c>
      <c r="L38" s="10">
        <f>+K38-I38</f>
        <v>0</v>
      </c>
      <c r="M38" s="2">
        <v>198310</v>
      </c>
      <c r="N38" s="10">
        <f>+M38-K38</f>
        <v>0</v>
      </c>
      <c r="O38" s="1">
        <v>187810</v>
      </c>
      <c r="P38" s="10">
        <f>+O38-M38</f>
        <v>-10500</v>
      </c>
      <c r="Q38" s="1">
        <f>+O38-D38</f>
        <v>154354</v>
      </c>
    </row>
    <row r="39" spans="2:17" x14ac:dyDescent="0.25">
      <c r="B39" t="s">
        <v>32</v>
      </c>
      <c r="D39" s="2">
        <v>200</v>
      </c>
      <c r="E39" s="2">
        <v>200</v>
      </c>
      <c r="F39" s="10">
        <f>+E39-D39</f>
        <v>0</v>
      </c>
      <c r="G39" s="2">
        <v>200</v>
      </c>
      <c r="H39" s="10">
        <f>+G39-E39</f>
        <v>0</v>
      </c>
      <c r="I39" s="2">
        <v>200</v>
      </c>
      <c r="J39" s="10">
        <f>+I39-G39</f>
        <v>0</v>
      </c>
      <c r="K39" s="2">
        <v>200</v>
      </c>
      <c r="L39" s="10">
        <f>+K39-I39</f>
        <v>0</v>
      </c>
      <c r="M39" s="2">
        <v>200</v>
      </c>
      <c r="N39" s="10">
        <f>+M39-K39</f>
        <v>0</v>
      </c>
      <c r="O39" s="1">
        <v>200</v>
      </c>
      <c r="P39" s="10">
        <f>+O39-M39</f>
        <v>0</v>
      </c>
      <c r="Q39" s="1">
        <f>+O39-D39</f>
        <v>0</v>
      </c>
    </row>
    <row r="40" spans="2:17" x14ac:dyDescent="0.25">
      <c r="B40" t="s">
        <v>33</v>
      </c>
      <c r="D40" s="2">
        <v>200</v>
      </c>
      <c r="E40" s="2">
        <v>200</v>
      </c>
      <c r="F40" s="10">
        <f>+E40-D40</f>
        <v>0</v>
      </c>
      <c r="G40" s="2">
        <v>200</v>
      </c>
      <c r="H40" s="10">
        <f>+G40-E40</f>
        <v>0</v>
      </c>
      <c r="I40" s="2">
        <v>200</v>
      </c>
      <c r="J40" s="10">
        <f>+I40-G40</f>
        <v>0</v>
      </c>
      <c r="K40" s="2">
        <v>200</v>
      </c>
      <c r="L40" s="10">
        <f>+K40-I40</f>
        <v>0</v>
      </c>
      <c r="M40" s="2">
        <v>200</v>
      </c>
      <c r="N40" s="10">
        <f>+M40-K40</f>
        <v>0</v>
      </c>
      <c r="O40" s="1">
        <v>200</v>
      </c>
      <c r="P40" s="10">
        <f>+O40-M40</f>
        <v>0</v>
      </c>
      <c r="Q40" s="1">
        <f>+O40-D40</f>
        <v>0</v>
      </c>
    </row>
    <row r="41" spans="2:17" x14ac:dyDescent="0.25">
      <c r="B41" t="s">
        <v>34</v>
      </c>
      <c r="D41" s="2">
        <v>600</v>
      </c>
      <c r="E41" s="2">
        <v>600</v>
      </c>
      <c r="F41" s="10">
        <f>+E41-D41</f>
        <v>0</v>
      </c>
      <c r="G41" s="2">
        <v>600</v>
      </c>
      <c r="H41" s="10">
        <f>+G41-E41</f>
        <v>0</v>
      </c>
      <c r="I41" s="2">
        <v>600</v>
      </c>
      <c r="J41" s="10">
        <f>+I41-G41</f>
        <v>0</v>
      </c>
      <c r="K41" s="2">
        <v>600</v>
      </c>
      <c r="L41" s="10">
        <f>+K41-I41</f>
        <v>0</v>
      </c>
      <c r="M41" s="2">
        <v>600</v>
      </c>
      <c r="N41" s="10">
        <f>+M41-K41</f>
        <v>0</v>
      </c>
      <c r="O41" s="1">
        <v>600</v>
      </c>
      <c r="P41" s="10">
        <f>+O41-M41</f>
        <v>0</v>
      </c>
      <c r="Q41" s="1">
        <f>+O41-D41</f>
        <v>0</v>
      </c>
    </row>
    <row r="42" spans="2:17" x14ac:dyDescent="0.25">
      <c r="B42" t="s">
        <v>35</v>
      </c>
      <c r="D42" s="2">
        <v>900</v>
      </c>
      <c r="E42" s="2">
        <v>900</v>
      </c>
      <c r="F42" s="10">
        <f>+E42-D42</f>
        <v>0</v>
      </c>
      <c r="G42" s="2">
        <v>900</v>
      </c>
      <c r="H42" s="10">
        <f>+G42-E42</f>
        <v>0</v>
      </c>
      <c r="I42" s="2">
        <v>900</v>
      </c>
      <c r="J42" s="10">
        <f>+I42-G42</f>
        <v>0</v>
      </c>
      <c r="K42" s="2">
        <v>900</v>
      </c>
      <c r="L42" s="10">
        <f>+K42-I42</f>
        <v>0</v>
      </c>
      <c r="M42" s="2">
        <v>900</v>
      </c>
      <c r="N42" s="10">
        <f>+M42-K42</f>
        <v>0</v>
      </c>
      <c r="O42" s="1">
        <v>900</v>
      </c>
      <c r="P42" s="10">
        <f>+O42-M42</f>
        <v>0</v>
      </c>
      <c r="Q42" s="1">
        <f>+O42-D42</f>
        <v>0</v>
      </c>
    </row>
    <row r="43" spans="2:17" x14ac:dyDescent="0.25">
      <c r="B43" t="s">
        <v>36</v>
      </c>
      <c r="D43" s="2">
        <v>1800</v>
      </c>
      <c r="E43" s="2">
        <v>1800</v>
      </c>
      <c r="F43" s="10">
        <f>+E43-D43</f>
        <v>0</v>
      </c>
      <c r="G43" s="2">
        <v>1800</v>
      </c>
      <c r="H43" s="10">
        <f>+G43-E43</f>
        <v>0</v>
      </c>
      <c r="I43" s="2">
        <v>1800</v>
      </c>
      <c r="J43" s="10">
        <f>+I43-G43</f>
        <v>0</v>
      </c>
      <c r="K43" s="2">
        <v>1800</v>
      </c>
      <c r="L43" s="10">
        <f>+K43-I43</f>
        <v>0</v>
      </c>
      <c r="M43" s="2">
        <v>1800</v>
      </c>
      <c r="N43" s="10">
        <f>+M43-K43</f>
        <v>0</v>
      </c>
      <c r="O43" s="1">
        <v>1800</v>
      </c>
      <c r="P43" s="10">
        <f>+O43-M43</f>
        <v>0</v>
      </c>
      <c r="Q43" s="1">
        <f>+O43-D43</f>
        <v>0</v>
      </c>
    </row>
    <row r="44" spans="2:17" x14ac:dyDescent="0.25">
      <c r="B44" t="s">
        <v>37</v>
      </c>
      <c r="D44" s="2">
        <v>0</v>
      </c>
      <c r="E44" s="2">
        <v>200000</v>
      </c>
      <c r="F44" s="10">
        <f>+E44-D44</f>
        <v>200000</v>
      </c>
      <c r="G44" s="2">
        <v>200000</v>
      </c>
      <c r="H44" s="10">
        <f>+G44-E44</f>
        <v>0</v>
      </c>
      <c r="I44" s="2">
        <v>200000</v>
      </c>
      <c r="J44" s="10">
        <f>+I44-G44</f>
        <v>0</v>
      </c>
      <c r="K44" s="2">
        <v>200000</v>
      </c>
      <c r="L44" s="10">
        <f>+K44-I44</f>
        <v>0</v>
      </c>
      <c r="M44" s="2">
        <v>200000</v>
      </c>
      <c r="N44" s="10">
        <f>+M44-K44</f>
        <v>0</v>
      </c>
      <c r="O44" s="1">
        <v>200000</v>
      </c>
      <c r="P44" s="10">
        <f>+O44-M44</f>
        <v>0</v>
      </c>
      <c r="Q44" s="1">
        <f>+O44-D44</f>
        <v>200000</v>
      </c>
    </row>
    <row r="45" spans="2:17" x14ac:dyDescent="0.25">
      <c r="B45" t="s">
        <v>38</v>
      </c>
      <c r="D45" s="2">
        <v>73</v>
      </c>
      <c r="E45" s="2">
        <v>73</v>
      </c>
      <c r="F45" s="10">
        <f>+E45-D45</f>
        <v>0</v>
      </c>
      <c r="G45" s="2">
        <v>73</v>
      </c>
      <c r="H45" s="10">
        <f>+G45-E45</f>
        <v>0</v>
      </c>
      <c r="I45" s="2">
        <v>73</v>
      </c>
      <c r="J45" s="10">
        <f>+I45-G45</f>
        <v>0</v>
      </c>
      <c r="K45" s="2">
        <v>73</v>
      </c>
      <c r="L45" s="10">
        <f>+K45-I45</f>
        <v>0</v>
      </c>
      <c r="M45" s="2">
        <v>73</v>
      </c>
      <c r="N45" s="10">
        <f>+M45-K45</f>
        <v>0</v>
      </c>
      <c r="O45" s="1">
        <v>73</v>
      </c>
      <c r="P45" s="10">
        <f>+O45-M45</f>
        <v>0</v>
      </c>
      <c r="Q45" s="1">
        <f>+O45-D45</f>
        <v>0</v>
      </c>
    </row>
    <row r="46" spans="2:17" x14ac:dyDescent="0.25">
      <c r="B46" t="s">
        <v>39</v>
      </c>
      <c r="D46" s="2">
        <v>159123</v>
      </c>
      <c r="E46" s="2">
        <v>159123</v>
      </c>
      <c r="F46" s="10">
        <f>+E46-D46</f>
        <v>0</v>
      </c>
      <c r="G46" s="2">
        <v>118277</v>
      </c>
      <c r="H46" s="10">
        <f>+G46-E46</f>
        <v>-40846</v>
      </c>
      <c r="I46" s="2">
        <v>118277</v>
      </c>
      <c r="J46" s="10">
        <f>+I46-G46</f>
        <v>0</v>
      </c>
      <c r="K46" s="2">
        <v>120277</v>
      </c>
      <c r="L46" s="10">
        <f>+K46-I46</f>
        <v>2000</v>
      </c>
      <c r="M46" s="2">
        <v>120277</v>
      </c>
      <c r="N46" s="10">
        <f>+M46-K46</f>
        <v>0</v>
      </c>
      <c r="O46" s="1">
        <v>128562</v>
      </c>
      <c r="P46" s="10">
        <f>+O46-M46</f>
        <v>8285</v>
      </c>
      <c r="Q46" s="1">
        <f>+O46-D46</f>
        <v>-30561</v>
      </c>
    </row>
    <row r="47" spans="2:17" x14ac:dyDescent="0.25">
      <c r="B47" t="s">
        <v>40</v>
      </c>
      <c r="D47" s="2">
        <v>1000</v>
      </c>
      <c r="E47" s="2">
        <v>1000</v>
      </c>
      <c r="F47" s="10">
        <f>+E47-D47</f>
        <v>0</v>
      </c>
      <c r="G47" s="2">
        <v>1000</v>
      </c>
      <c r="H47" s="10">
        <f>+G47-E47</f>
        <v>0</v>
      </c>
      <c r="I47" s="2">
        <v>1000</v>
      </c>
      <c r="J47" s="10">
        <f>+I47-G47</f>
        <v>0</v>
      </c>
      <c r="K47" s="2">
        <v>1000</v>
      </c>
      <c r="L47" s="10">
        <f>+K47-I47</f>
        <v>0</v>
      </c>
      <c r="M47" s="2">
        <v>1000</v>
      </c>
      <c r="N47" s="10">
        <f>+M47-K47</f>
        <v>0</v>
      </c>
      <c r="O47" s="1">
        <v>1000</v>
      </c>
      <c r="P47" s="10">
        <f>+O47-M47</f>
        <v>0</v>
      </c>
      <c r="Q47" s="1">
        <f>+O47-D47</f>
        <v>0</v>
      </c>
    </row>
    <row r="48" spans="2:17" x14ac:dyDescent="0.25">
      <c r="B48" t="s">
        <v>41</v>
      </c>
      <c r="D48" s="2">
        <v>159</v>
      </c>
      <c r="E48" s="2">
        <v>159</v>
      </c>
      <c r="F48" s="10">
        <f>+E48-D48</f>
        <v>0</v>
      </c>
      <c r="G48" s="2">
        <v>159</v>
      </c>
      <c r="H48" s="10">
        <f>+G48-E48</f>
        <v>0</v>
      </c>
      <c r="I48" s="2">
        <v>159</v>
      </c>
      <c r="J48" s="10">
        <f>+I48-G48</f>
        <v>0</v>
      </c>
      <c r="K48" s="2">
        <v>159</v>
      </c>
      <c r="L48" s="10">
        <f>+K48-I48</f>
        <v>0</v>
      </c>
      <c r="M48" s="2">
        <v>159</v>
      </c>
      <c r="N48" s="10">
        <f>+M48-K48</f>
        <v>0</v>
      </c>
      <c r="O48" s="1">
        <v>159</v>
      </c>
      <c r="P48" s="10">
        <f>+O48-M48</f>
        <v>0</v>
      </c>
      <c r="Q48" s="1">
        <f>+O48-D48</f>
        <v>0</v>
      </c>
    </row>
    <row r="49" spans="2:17" x14ac:dyDescent="0.25">
      <c r="B49" t="s">
        <v>42</v>
      </c>
      <c r="D49" s="2">
        <v>399</v>
      </c>
      <c r="E49" s="2">
        <v>399</v>
      </c>
      <c r="F49" s="10">
        <f>+E49-D49</f>
        <v>0</v>
      </c>
      <c r="G49" s="2">
        <v>399</v>
      </c>
      <c r="H49" s="10">
        <f>+G49-E49</f>
        <v>0</v>
      </c>
      <c r="I49" s="2">
        <v>399</v>
      </c>
      <c r="J49" s="10">
        <f>+I49-G49</f>
        <v>0</v>
      </c>
      <c r="K49" s="2">
        <v>399</v>
      </c>
      <c r="L49" s="10">
        <f>+K49-I49</f>
        <v>0</v>
      </c>
      <c r="M49" s="2">
        <v>399</v>
      </c>
      <c r="N49" s="10">
        <f>+M49-K49</f>
        <v>0</v>
      </c>
      <c r="O49" s="1">
        <v>399</v>
      </c>
      <c r="P49" s="10">
        <f>+O49-M49</f>
        <v>0</v>
      </c>
      <c r="Q49" s="1">
        <f>+O49-D49</f>
        <v>0</v>
      </c>
    </row>
    <row r="50" spans="2:17" x14ac:dyDescent="0.25">
      <c r="B50" t="s">
        <v>43</v>
      </c>
      <c r="D50" s="2">
        <v>12765</v>
      </c>
      <c r="E50" s="2">
        <v>12765</v>
      </c>
      <c r="F50" s="10">
        <f>+E50-D50</f>
        <v>0</v>
      </c>
      <c r="G50" s="2">
        <v>12765</v>
      </c>
      <c r="H50" s="10">
        <f>+G50-E50</f>
        <v>0</v>
      </c>
      <c r="I50" s="2">
        <v>12765</v>
      </c>
      <c r="J50" s="10">
        <f>+I50-G50</f>
        <v>0</v>
      </c>
      <c r="K50" s="2">
        <v>12765</v>
      </c>
      <c r="L50" s="10">
        <f>+K50-I50</f>
        <v>0</v>
      </c>
      <c r="M50" s="2">
        <v>12765</v>
      </c>
      <c r="N50" s="10">
        <f>+M50-K50</f>
        <v>0</v>
      </c>
      <c r="O50" s="1">
        <v>12765</v>
      </c>
      <c r="P50" s="10">
        <f>+O50-M50</f>
        <v>0</v>
      </c>
      <c r="Q50" s="1">
        <f>+O50-D50</f>
        <v>0</v>
      </c>
    </row>
    <row r="51" spans="2:17" x14ac:dyDescent="0.25">
      <c r="B51" t="s">
        <v>44</v>
      </c>
      <c r="D51" s="2">
        <v>200</v>
      </c>
      <c r="E51" s="2">
        <v>200</v>
      </c>
      <c r="F51" s="10">
        <f>+E51-D51</f>
        <v>0</v>
      </c>
      <c r="G51" s="2">
        <v>200</v>
      </c>
      <c r="H51" s="10">
        <f>+G51-E51</f>
        <v>0</v>
      </c>
      <c r="I51" s="2">
        <v>200</v>
      </c>
      <c r="J51" s="10">
        <f>+I51-G51</f>
        <v>0</v>
      </c>
      <c r="K51" s="2">
        <v>200</v>
      </c>
      <c r="L51" s="10">
        <f>+K51-I51</f>
        <v>0</v>
      </c>
      <c r="M51" s="2">
        <v>200</v>
      </c>
      <c r="N51" s="10">
        <f>+M51-K51</f>
        <v>0</v>
      </c>
      <c r="O51" s="1">
        <v>200</v>
      </c>
      <c r="P51" s="10">
        <f>+O51-M51</f>
        <v>0</v>
      </c>
      <c r="Q51" s="1">
        <f>+O51-D51</f>
        <v>0</v>
      </c>
    </row>
    <row r="52" spans="2:17" x14ac:dyDescent="0.25">
      <c r="B52" t="s">
        <v>45</v>
      </c>
      <c r="D52" s="2">
        <v>819</v>
      </c>
      <c r="E52" s="2">
        <v>819</v>
      </c>
      <c r="F52" s="10">
        <f>+E52-D52</f>
        <v>0</v>
      </c>
      <c r="G52" s="2">
        <v>819</v>
      </c>
      <c r="H52" s="10">
        <f>+G52-E52</f>
        <v>0</v>
      </c>
      <c r="I52" s="2">
        <v>819</v>
      </c>
      <c r="J52" s="10">
        <f>+I52-G52</f>
        <v>0</v>
      </c>
      <c r="K52" s="2">
        <v>819</v>
      </c>
      <c r="L52" s="10">
        <f>+K52-I52</f>
        <v>0</v>
      </c>
      <c r="M52" s="2">
        <v>819</v>
      </c>
      <c r="N52" s="10">
        <f>+M52-K52</f>
        <v>0</v>
      </c>
      <c r="O52" s="1">
        <v>819</v>
      </c>
      <c r="P52" s="10">
        <f>+O52-M52</f>
        <v>0</v>
      </c>
      <c r="Q52" s="1">
        <f>+O52-D52</f>
        <v>0</v>
      </c>
    </row>
    <row r="53" spans="2:17" x14ac:dyDescent="0.25">
      <c r="B53" t="s">
        <v>46</v>
      </c>
      <c r="D53" s="2">
        <v>1404</v>
      </c>
      <c r="E53" s="2">
        <v>1404</v>
      </c>
      <c r="F53" s="10">
        <f>+E53-D53</f>
        <v>0</v>
      </c>
      <c r="G53" s="2">
        <v>300</v>
      </c>
      <c r="H53" s="10">
        <f>+G53-E53</f>
        <v>-1104</v>
      </c>
      <c r="I53" s="2">
        <v>300</v>
      </c>
      <c r="J53" s="10">
        <f>+I53-G53</f>
        <v>0</v>
      </c>
      <c r="K53" s="2">
        <v>300</v>
      </c>
      <c r="L53" s="10">
        <f>+K53-I53</f>
        <v>0</v>
      </c>
      <c r="M53" s="2">
        <v>300</v>
      </c>
      <c r="N53" s="10">
        <f>+M53-K53</f>
        <v>0</v>
      </c>
      <c r="O53" s="1">
        <v>568</v>
      </c>
      <c r="P53" s="10">
        <f>+O53-M53</f>
        <v>268</v>
      </c>
      <c r="Q53" s="1">
        <f>+O53-D53</f>
        <v>-836</v>
      </c>
    </row>
    <row r="54" spans="2:17" x14ac:dyDescent="0.25">
      <c r="B54" t="s">
        <v>47</v>
      </c>
      <c r="D54" s="2">
        <v>1000</v>
      </c>
      <c r="E54" s="2">
        <v>1000</v>
      </c>
      <c r="F54" s="10">
        <f>+E54-D54</f>
        <v>0</v>
      </c>
      <c r="G54" s="2">
        <v>1000</v>
      </c>
      <c r="H54" s="10">
        <f>+G54-E54</f>
        <v>0</v>
      </c>
      <c r="I54" s="2">
        <v>1000</v>
      </c>
      <c r="J54" s="10">
        <f>+I54-G54</f>
        <v>0</v>
      </c>
      <c r="K54" s="2">
        <v>1000</v>
      </c>
      <c r="L54" s="10">
        <f>+K54-I54</f>
        <v>0</v>
      </c>
      <c r="M54" s="2">
        <v>1000</v>
      </c>
      <c r="N54" s="10">
        <f>+M54-K54</f>
        <v>0</v>
      </c>
      <c r="O54" s="1">
        <v>1000</v>
      </c>
      <c r="P54" s="10">
        <f>+O54-M54</f>
        <v>0</v>
      </c>
      <c r="Q54" s="1">
        <f>+O54-D54</f>
        <v>0</v>
      </c>
    </row>
    <row r="55" spans="2:17" x14ac:dyDescent="0.25">
      <c r="B55" t="s">
        <v>48</v>
      </c>
      <c r="D55" s="2">
        <v>600</v>
      </c>
      <c r="E55" s="2">
        <v>600</v>
      </c>
      <c r="F55" s="10">
        <f>+E55-D55</f>
        <v>0</v>
      </c>
      <c r="G55" s="2">
        <v>600</v>
      </c>
      <c r="H55" s="10">
        <f>+G55-E55</f>
        <v>0</v>
      </c>
      <c r="I55" s="2">
        <v>600</v>
      </c>
      <c r="J55" s="10">
        <f>+I55-G55</f>
        <v>0</v>
      </c>
      <c r="K55" s="2">
        <v>600</v>
      </c>
      <c r="L55" s="10">
        <f>+K55-I55</f>
        <v>0</v>
      </c>
      <c r="M55" s="2">
        <v>600</v>
      </c>
      <c r="N55" s="10">
        <f>+M55-K55</f>
        <v>0</v>
      </c>
      <c r="O55" s="1">
        <v>600</v>
      </c>
      <c r="P55" s="10">
        <f>+O55-M55</f>
        <v>0</v>
      </c>
      <c r="Q55" s="1">
        <f>+O55-D55</f>
        <v>0</v>
      </c>
    </row>
    <row r="56" spans="2:17" x14ac:dyDescent="0.25">
      <c r="B56" t="s">
        <v>49</v>
      </c>
      <c r="D56" s="2">
        <v>1698</v>
      </c>
      <c r="E56" s="2">
        <v>1725</v>
      </c>
      <c r="F56" s="10">
        <f>+E56-D56</f>
        <v>27</v>
      </c>
      <c r="G56" s="2">
        <v>1725</v>
      </c>
      <c r="H56" s="10">
        <f>+G56-E56</f>
        <v>0</v>
      </c>
      <c r="I56" s="2">
        <v>1725</v>
      </c>
      <c r="J56" s="10">
        <f>+I56-G56</f>
        <v>0</v>
      </c>
      <c r="K56" s="2">
        <v>1725</v>
      </c>
      <c r="L56" s="10">
        <f>+K56-I56</f>
        <v>0</v>
      </c>
      <c r="M56" s="2">
        <v>1725</v>
      </c>
      <c r="N56" s="10">
        <f>+M56-K56</f>
        <v>0</v>
      </c>
      <c r="O56" s="1">
        <v>1727</v>
      </c>
      <c r="P56" s="10">
        <f>+O56-M56</f>
        <v>2</v>
      </c>
      <c r="Q56" s="1">
        <f>+O56-D56</f>
        <v>29</v>
      </c>
    </row>
    <row r="57" spans="2:17" x14ac:dyDescent="0.25">
      <c r="B57" t="s">
        <v>50</v>
      </c>
      <c r="D57" s="2">
        <v>1056817</v>
      </c>
      <c r="E57" s="2">
        <v>1056817</v>
      </c>
      <c r="F57" s="10">
        <f>+E57-D57</f>
        <v>0</v>
      </c>
      <c r="G57" s="2">
        <v>1046932</v>
      </c>
      <c r="H57" s="10">
        <f>+G57-E57</f>
        <v>-9885</v>
      </c>
      <c r="I57" s="2">
        <v>1041618</v>
      </c>
      <c r="J57" s="10">
        <f>+I57-G57</f>
        <v>-5314</v>
      </c>
      <c r="K57" s="2">
        <v>1041618</v>
      </c>
      <c r="L57" s="10">
        <f>+K57-I57</f>
        <v>0</v>
      </c>
      <c r="M57" s="2">
        <v>1041118</v>
      </c>
      <c r="N57" s="10">
        <f>+M57-K57</f>
        <v>-500</v>
      </c>
      <c r="O57" s="1">
        <v>1038918</v>
      </c>
      <c r="P57" s="10">
        <f>+O57-M57</f>
        <v>-2200</v>
      </c>
      <c r="Q57" s="1">
        <f>+O57-D57</f>
        <v>-17899</v>
      </c>
    </row>
    <row r="58" spans="2:17" x14ac:dyDescent="0.25">
      <c r="D58" s="2"/>
      <c r="E58" s="2"/>
      <c r="G58" s="2"/>
      <c r="I58" s="2"/>
      <c r="K58" s="2"/>
      <c r="M58" s="2"/>
      <c r="O58" s="1"/>
    </row>
    <row r="59" spans="2:17" x14ac:dyDescent="0.25">
      <c r="E59" s="2"/>
      <c r="G59" s="2"/>
      <c r="I59" s="2"/>
      <c r="M59" s="2"/>
    </row>
    <row r="60" spans="2:17" x14ac:dyDescent="0.25">
      <c r="E60" s="2"/>
      <c r="G60" s="2"/>
      <c r="I60" s="2"/>
      <c r="M60" s="2"/>
    </row>
    <row r="61" spans="2:17" x14ac:dyDescent="0.25">
      <c r="E61" s="2"/>
      <c r="G61" s="2"/>
      <c r="M61" s="2"/>
    </row>
    <row r="62" spans="2:17" x14ac:dyDescent="0.25">
      <c r="E62" s="2"/>
      <c r="G62" s="2"/>
      <c r="M62" s="2"/>
    </row>
    <row r="63" spans="2:17" x14ac:dyDescent="0.25">
      <c r="E63" s="2"/>
      <c r="G63" s="2"/>
      <c r="M63" s="2"/>
    </row>
    <row r="64" spans="2:17" x14ac:dyDescent="0.25">
      <c r="G64" s="2"/>
      <c r="M64" s="2"/>
    </row>
    <row r="65" spans="7:13" x14ac:dyDescent="0.25">
      <c r="G65" s="2"/>
      <c r="M65" s="2"/>
    </row>
    <row r="66" spans="7:13" x14ac:dyDescent="0.25">
      <c r="G66" s="2"/>
      <c r="M66" s="2"/>
    </row>
    <row r="67" spans="7:13" x14ac:dyDescent="0.25">
      <c r="G67" s="2"/>
      <c r="M67" s="2"/>
    </row>
    <row r="68" spans="7:13" x14ac:dyDescent="0.25">
      <c r="G68" s="2"/>
      <c r="M68" s="2"/>
    </row>
    <row r="69" spans="7:13" x14ac:dyDescent="0.25">
      <c r="G69" s="2"/>
    </row>
  </sheetData>
  <mergeCells count="1">
    <mergeCell ref="B2:Q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06-30-23 SPR - BMNR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</dc:creator>
  <cp:lastModifiedBy>Erik</cp:lastModifiedBy>
  <dcterms:created xsi:type="dcterms:W3CDTF">2023-07-06T19:30:31Z</dcterms:created>
  <dcterms:modified xsi:type="dcterms:W3CDTF">2023-07-06T20:40:35Z</dcterms:modified>
</cp:coreProperties>
</file>